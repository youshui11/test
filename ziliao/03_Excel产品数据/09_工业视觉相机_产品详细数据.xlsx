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f5133ae744f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型号目录" sheetId="1" r:id="Rcb9a02bc3cce4ec0"/>
    <x:sheet xmlns:r="http://schemas.openxmlformats.org/officeDocument/2006/relationships" name="技术参数" sheetId="2" r:id="R5e9ffbf2a3d746b6"/>
    <x:sheet xmlns:r="http://schemas.openxmlformats.org/officeDocument/2006/relationships" name="配件与兼容" sheetId="3" r:id="Rd94efc8cc0fc4a8f"/>
    <x:sheet xmlns:r="http://schemas.openxmlformats.org/officeDocument/2006/relationships" name="服务与版本" sheetId="4" r:id="Rcd1af1a2ee5e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yyyy-mm-dd"/>
  </x:numFmts>
  <x:fonts count="4">
    <x:font>
      <x:sz val="11"/>
      <x:name val="Carlito"/>
    </x:font>
    <x:font>
      <x:sz val="10"/>
      <x:color rgb="FF1E293B"/>
      <x:name val="Arial Unicode MS"/>
    </x:font>
    <x:font>
      <x:b/>
      <x:sz val="15"/>
      <x:color rgb="FF142B46"/>
      <x:name val="Arial Unicode MS"/>
    </x:font>
    <x:font>
      <x:b/>
      <x:sz val="10"/>
      <x:color rgb="FFFFFFFF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225005e2e147b3" /><Relationship Type="http://schemas.openxmlformats.org/officeDocument/2006/relationships/theme" Target="/xl/theme/theme1.xml" Id="Rb0b3afe8cf7245f3" /><Relationship Type="http://schemas.openxmlformats.org/officeDocument/2006/relationships/sharedStrings" Target="/xl/sharedStrings.xml" Id="R809de52a50554852" /><Relationship Type="http://schemas.openxmlformats.org/officeDocument/2006/relationships/worksheet" Target="/xl/worksheets/sheet1.xml" Id="Rcb9a02bc3cce4ec0" /><Relationship Type="http://schemas.openxmlformats.org/officeDocument/2006/relationships/worksheet" Target="/xl/worksheets/sheet2.xml" Id="R5e9ffbf2a3d746b6" /><Relationship Type="http://schemas.openxmlformats.org/officeDocument/2006/relationships/worksheet" Target="/xl/worksheets/sheet3.xml" Id="Rd94efc8cc0fc4a8f" /><Relationship Type="http://schemas.openxmlformats.org/officeDocument/2006/relationships/worksheet" Target="/xl/worksheets/sheet4.xml" Id="Rcd1af1a2ee5e41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.4399995803833" hidden="0" customWidth="1"/>
    <x:col min="2" max="2" width="16.110000610351562" hidden="0" customWidth="1"/>
    <x:col min="3" max="3" width="11.109999656677246" hidden="0" customWidth="1"/>
    <x:col min="4" max="4" width="16.110000610351562" hidden="0" customWidth="1"/>
    <x:col min="5" max="5" width="9.4399995803833" hidden="0" customWidth="1"/>
    <x:col min="6" max="6" width="17.219999313354492" hidden="0" customWidth="1"/>
    <x:col min="7" max="7" width="10" hidden="0" customWidth="1"/>
    <x:col min="8" max="8" width="17.219999313354492" hidden="0" customWidth="1"/>
    <x:col min="9" max="9" width="12.220000267028809" hidden="0" customWidth="1"/>
    <x:col min="10" max="10" width="12.220000267028809" hidden="0" customWidth="1"/>
    <x:col min="11" max="11" width="11.109999656677246" hidden="0" customWidth="1"/>
    <x:col min="12" max="12" width="11.109999656677246" hidden="0" customWidth="1"/>
    <x:col min="13" max="13" width="12.779999732971191" hidden="0" customWidth="1"/>
    <x:col min="14" max="14" width="10" hidden="0" customWidth="1"/>
    <x:col min="15" max="15" width="28.889999389648438" hidden="0" customWidth="1"/>
    <x:col min="16" max="16" width="36.66999816894531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8" customHeight="1">
      <x:c r="A2" s="5" t="str">
        <x:v>工业视觉相机 型号目录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32" customHeight="1">
      <x:c r="A3" s="4" t="str">
        <x:v>PRD-09 V2.0  合成教学产品  价格快照2026-10-01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8" customHeight="1">
      <x:c r="A5" s="9" t="str">
        <x:v>SKU编号</x:v>
      </x:c>
      <x:c r="B5" s="9" t="str">
        <x:v>产品型号</x:v>
      </x:c>
      <x:c r="C5" s="9" t="str">
        <x:v>配置档位</x:v>
      </x:c>
      <x:c r="D5" s="9" t="str">
        <x:v>目录未税单价元</x:v>
      </x:c>
      <x:c r="E5" s="9" t="str">
        <x:v>税率</x:v>
      </x:c>
      <x:c r="F5" s="9" t="str">
        <x:v>参考含税单价元</x:v>
      </x:c>
      <x:c r="G5" s="9" t="str">
        <x:v>计价单位</x:v>
      </x:c>
      <x:c r="H5" s="9" t="str">
        <x:v>常规交期工作日</x:v>
      </x:c>
      <x:c r="I5" s="9" t="str">
        <x:v>标准质保月</x:v>
      </x:c>
      <x:c r="J5" s="9" t="str">
        <x:v>最小起订量</x:v>
      </x:c>
      <x:c r="K5" s="9" t="str">
        <x:v>固件版本</x:v>
      </x:c>
      <x:c r="L5" s="9" t="str">
        <x:v>资料版本</x:v>
      </x:c>
      <x:c r="M5" s="9" t="str">
        <x:v>生效日期</x:v>
      </x:c>
      <x:c r="N5" s="9" t="str">
        <x:v>产品状态</x:v>
      </x:c>
      <x:c r="O5" s="9" t="str">
        <x:v>产品别名</x:v>
      </x:c>
      <x:c r="P5" s="9" t="str">
        <x:v>未包含项目</x:v>
      </x:c>
    </x:row>
    <x:row r="6" ht="58" customHeight="1">
      <x:c r="A6" s="10" t="str">
        <x:v>PRD-09-01</x:v>
      </x:c>
      <x:c r="B6" s="10" t="str">
        <x:v>LC-VC-100</x:v>
      </x:c>
      <x:c r="C6" s="10" t="str">
        <x:v>基础型</x:v>
      </x:c>
      <x:c r="D6" s="11" t="n">
        <x:v>1900</x:v>
      </x:c>
      <x:c r="E6" s="13" t="n">
        <x:v>0.13</x:v>
      </x:c>
      <x:c r="F6" s="11" t="n">
        <x:f>ROUND(D6*(1+E6),2)</x:f>
        <x:v>2147</x:v>
      </x:c>
      <x:c r="G6" s="10" t="str">
        <x:v>台</x:v>
      </x:c>
      <x:c r="H6" s="10" t="n">
        <x:v>15</x:v>
      </x:c>
      <x:c r="I6" s="10" t="n">
        <x:v>24</x:v>
      </x:c>
      <x:c r="J6" s="10" t="n">
        <x:v>1</x:v>
      </x:c>
      <x:c r="K6" s="10" t="str">
        <x:v>2.0.1</x:v>
      </x:c>
      <x:c r="L6" s="10" t="str">
        <x:v>V2.0</x:v>
      </x:c>
      <x:c r="M6" s="15" t="d">
        <x:v>2026-10-01T00:00:00.000Z</x:v>
      </x:c>
      <x:c r="N6" s="10" t="str">
        <x:v>在售</x:v>
      </x:c>
      <x:c r="O6" s="10" t="str">
        <x:v>机器视觉 工业相机 视觉检测相机</x:v>
      </x:c>
      <x:c r="P6" s="10" t="str">
        <x:v>安装、物流、选配件、流量与算法授权按需另计</x:v>
      </x:c>
    </x:row>
    <x:row r="7" ht="58" customHeight="1">
      <x:c r="A7" s="3" t="str">
        <x:v>PRD-09-02</x:v>
      </x:c>
      <x:c r="B7" s="3" t="str">
        <x:v>LC-VC-200</x:v>
      </x:c>
      <x:c r="C7" s="3" t="str">
        <x:v>联网型</x:v>
      </x:c>
      <x:c r="D7" s="12" t="n">
        <x:v>3000</x:v>
      </x:c>
      <x:c r="E7" s="14" t="n">
        <x:v>0.13</x:v>
      </x:c>
      <x:c r="F7" s="12" t="n">
        <x:f>ROUND(D7*(1+E7),2)</x:f>
        <x:v>3390</x:v>
      </x:c>
      <x:c r="G7" s="3" t="str">
        <x:v>台</x:v>
      </x:c>
      <x:c r="H7" s="3" t="n">
        <x:v>15</x:v>
      </x:c>
      <x:c r="I7" s="3" t="n">
        <x:v>24</x:v>
      </x:c>
      <x:c r="J7" s="3" t="n">
        <x:v>1</x:v>
      </x:c>
      <x:c r="K7" s="3" t="str">
        <x:v>2.0.2</x:v>
      </x:c>
      <x:c r="L7" s="3" t="str">
        <x:v>V2.0</x:v>
      </x:c>
      <x:c r="M7" s="16" t="d">
        <x:v>2026-10-01T00:00:00.000Z</x:v>
      </x:c>
      <x:c r="N7" s="3" t="str">
        <x:v>在售</x:v>
      </x:c>
      <x:c r="O7" s="3" t="str">
        <x:v>机器视觉 工业相机 视觉检测相机</x:v>
      </x:c>
      <x:c r="P7" s="3" t="str">
        <x:v>安装、物流、选配件、流量与算法授权按需另计</x:v>
      </x:c>
    </x:row>
    <x:row r="8" ht="58" customHeight="1">
      <x:c r="A8" s="10" t="str">
        <x:v>PRD-09-03</x:v>
      </x:c>
      <x:c r="B8" s="10" t="str">
        <x:v>LC-VC-300</x:v>
      </x:c>
      <x:c r="C8" s="10" t="str">
        <x:v>增强型</x:v>
      </x:c>
      <x:c r="D8" s="11" t="n">
        <x:v>4100</x:v>
      </x:c>
      <x:c r="E8" s="13" t="n">
        <x:v>0.13</x:v>
      </x:c>
      <x:c r="F8" s="11" t="n">
        <x:f>ROUND(D8*(1+E8),2)</x:f>
        <x:v>4633</x:v>
      </x:c>
      <x:c r="G8" s="10" t="str">
        <x:v>台</x:v>
      </x:c>
      <x:c r="H8" s="10" t="n">
        <x:v>15</x:v>
      </x:c>
      <x:c r="I8" s="10" t="n">
        <x:v>24</x:v>
      </x:c>
      <x:c r="J8" s="10" t="n">
        <x:v>1</x:v>
      </x:c>
      <x:c r="K8" s="10" t="str">
        <x:v>2.0.3</x:v>
      </x:c>
      <x:c r="L8" s="10" t="str">
        <x:v>V2.0</x:v>
      </x:c>
      <x:c r="M8" s="15" t="d">
        <x:v>2026-10-01T00:00:00.000Z</x:v>
      </x:c>
      <x:c r="N8" s="10" t="str">
        <x:v>在售</x:v>
      </x:c>
      <x:c r="O8" s="10" t="str">
        <x:v>机器视觉 工业相机 视觉检测相机</x:v>
      </x:c>
      <x:c r="P8" s="10" t="str">
        <x:v>安装、物流、选配件、流量与算法授权按需另计</x:v>
      </x:c>
    </x:row>
    <x:row r="9" ht="58" customHeight="1">
      <x:c r="A9" s="3" t="str">
        <x:v>PRD-09-04</x:v>
      </x:c>
      <x:c r="B9" s="3" t="str">
        <x:v>LC-VC-400</x:v>
      </x:c>
      <x:c r="C9" s="3" t="str">
        <x:v>扩展型</x:v>
      </x:c>
      <x:c r="D9" s="12" t="n">
        <x:v>5200</x:v>
      </x:c>
      <x:c r="E9" s="14" t="n">
        <x:v>0.13</x:v>
      </x:c>
      <x:c r="F9" s="12" t="n">
        <x:f>ROUND(D9*(1+E9),2)</x:f>
        <x:v>5876</x:v>
      </x:c>
      <x:c r="G9" s="3" t="str">
        <x:v>台</x:v>
      </x:c>
      <x:c r="H9" s="3" t="n">
        <x:v>15</x:v>
      </x:c>
      <x:c r="I9" s="3" t="n">
        <x:v>24</x:v>
      </x:c>
      <x:c r="J9" s="3" t="n">
        <x:v>1</x:v>
      </x:c>
      <x:c r="K9" s="3" t="str">
        <x:v>2.0.4</x:v>
      </x:c>
      <x:c r="L9" s="3" t="str">
        <x:v>V2.0</x:v>
      </x:c>
      <x:c r="M9" s="16" t="d">
        <x:v>2026-10-01T00:00:00.000Z</x:v>
      </x:c>
      <x:c r="N9" s="3" t="str">
        <x:v>在售</x:v>
      </x:c>
      <x:c r="O9" s="3" t="str">
        <x:v>机器视觉 工业相机 视觉检测相机</x:v>
      </x:c>
      <x:c r="P9" s="3" t="str">
        <x:v>安装、物流、选配件、流量与算法授权按需另计</x:v>
      </x:c>
    </x:row>
    <x:row r="10" ht="58" customHeight="1">
      <x:c r="A10" s="10" t="str">
        <x:v>PRD-09-05</x:v>
      </x:c>
      <x:c r="B10" s="10" t="str">
        <x:v>LC-VC-500</x:v>
      </x:c>
      <x:c r="C10" s="10" t="str">
        <x:v>高性能型</x:v>
      </x:c>
      <x:c r="D10" s="11" t="n">
        <x:v>6300</x:v>
      </x:c>
      <x:c r="E10" s="13" t="n">
        <x:v>0.13</x:v>
      </x:c>
      <x:c r="F10" s="11" t="n">
        <x:f>ROUND(D10*(1+E10),2)</x:f>
        <x:v>7119</x:v>
      </x:c>
      <x:c r="G10" s="10" t="str">
        <x:v>台</x:v>
      </x:c>
      <x:c r="H10" s="10" t="n">
        <x:v>18</x:v>
      </x:c>
      <x:c r="I10" s="10" t="n">
        <x:v>24</x:v>
      </x:c>
      <x:c r="J10" s="10" t="n">
        <x:v>1</x:v>
      </x:c>
      <x:c r="K10" s="10" t="str">
        <x:v>2.0.5</x:v>
      </x:c>
      <x:c r="L10" s="10" t="str">
        <x:v>V2.0</x:v>
      </x:c>
      <x:c r="M10" s="15" t="d">
        <x:v>2026-10-01T00:00:00.000Z</x:v>
      </x:c>
      <x:c r="N10" s="10" t="str">
        <x:v>在售</x:v>
      </x:c>
      <x:c r="O10" s="10" t="str">
        <x:v>机器视觉 工业相机 视觉检测相机</x:v>
      </x:c>
      <x:c r="P10" s="10" t="str">
        <x:v>安装、物流、选配件、流量与算法授权按需另计</x:v>
      </x:c>
    </x:row>
    <x:row r="11" ht="58" customHeight="1">
      <x:c r="A11" s="3" t="str">
        <x:v>PRD-09-06</x:v>
      </x:c>
      <x:c r="B11" s="3" t="str">
        <x:v>LC-VC-600</x:v>
      </x:c>
      <x:c r="C11" s="3" t="str">
        <x:v>旗舰型</x:v>
      </x:c>
      <x:c r="D11" s="12" t="n">
        <x:v>7400</x:v>
      </x:c>
      <x:c r="E11" s="14" t="n">
        <x:v>0.13</x:v>
      </x:c>
      <x:c r="F11" s="12" t="n">
        <x:f>ROUND(D11*(1+E11),2)</x:f>
        <x:v>8362</x:v>
      </x:c>
      <x:c r="G11" s="3" t="str">
        <x:v>台</x:v>
      </x:c>
      <x:c r="H11" s="3" t="n">
        <x:v>18</x:v>
      </x:c>
      <x:c r="I11" s="3" t="n">
        <x:v>24</x:v>
      </x:c>
      <x:c r="J11" s="3" t="n">
        <x:v>1</x:v>
      </x:c>
      <x:c r="K11" s="3" t="str">
        <x:v>2.0.6</x:v>
      </x:c>
      <x:c r="L11" s="3" t="str">
        <x:v>V2.0</x:v>
      </x:c>
      <x:c r="M11" s="16" t="d">
        <x:v>2026-10-01T00:00:00.000Z</x:v>
      </x:c>
      <x:c r="N11" s="3" t="str">
        <x:v>在售</x:v>
      </x:c>
      <x:c r="O11" s="3" t="str">
        <x:v>机器视觉 工业相机 视觉检测相机</x:v>
      </x:c>
      <x:c r="P11" s="3" t="str">
        <x:v>安装、物流、选配件、流量与算法授权按需另计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.440000534057617" hidden="0" customWidth="1"/>
    <x:col min="2" max="2" width="10" hidden="0" customWidth="1"/>
    <x:col min="3" max="3" width="18.329999923706055" hidden="0" customWidth="1"/>
    <x:col min="4" max="4" width="18.329999923706055" hidden="0" customWidth="1"/>
    <x:col min="5" max="5" width="18.329999923706055" hidden="0" customWidth="1"/>
    <x:col min="6" max="6" width="18.329999923706055" hidden="0" customWidth="1"/>
    <x:col min="7" max="7" width="18.329999923706055" hidden="0" customWidth="1"/>
    <x:col min="8" max="8" width="18.32999992370605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</x:row>
    <x:row r="2" ht="38" customHeight="1">
      <x:c r="A2" s="5" t="str">
        <x:v>工业视觉相机 技术参数</x:v>
      </x:c>
      <x:c r="B2" s="6"/>
      <x:c r="C2" s="6"/>
      <x:c r="D2" s="6"/>
      <x:c r="E2" s="6"/>
      <x:c r="F2" s="6"/>
      <x:c r="G2" s="6"/>
      <x:c r="H2" s="6"/>
    </x:row>
    <x:row r="3" ht="32" customHeight="1">
      <x:c r="A3" s="4" t="str">
        <x:v>PRD-09  参数按型号列读取，条件与边界见服务与版本</x:v>
      </x:c>
      <x:c r="B3" s="3"/>
      <x:c r="C3" s="3"/>
      <x:c r="D3" s="3"/>
      <x:c r="E3" s="3"/>
      <x:c r="F3" s="3"/>
      <x:c r="G3" s="3"/>
      <x:c r="H3" s="3"/>
    </x:row>
    <x:row r="4" ht="30" customHeight="1">
      <x:c r="A4" s="3"/>
      <x:c r="B4" s="3"/>
      <x:c r="C4" s="3"/>
      <x:c r="D4" s="3"/>
      <x:c r="E4" s="3"/>
      <x:c r="F4" s="3"/>
      <x:c r="G4" s="3"/>
      <x:c r="H4" s="3"/>
    </x:row>
    <x:row r="5" ht="38" customHeight="1">
      <x:c r="A5" s="9" t="str">
        <x:v>参数名称</x:v>
      </x:c>
      <x:c r="B5" s="9" t="str">
        <x:v>单位</x:v>
      </x:c>
      <x:c r="C5" s="9" t="str">
        <x:v>LC-VC-100</x:v>
      </x:c>
      <x:c r="D5" s="9" t="str">
        <x:v>LC-VC-200</x:v>
      </x:c>
      <x:c r="E5" s="9" t="str">
        <x:v>LC-VC-300</x:v>
      </x:c>
      <x:c r="F5" s="9" t="str">
        <x:v>LC-VC-400</x:v>
      </x:c>
      <x:c r="G5" s="9" t="str">
        <x:v>LC-VC-500</x:v>
      </x:c>
      <x:c r="H5" s="9" t="str">
        <x:v>LC-VC-600</x:v>
      </x:c>
    </x:row>
    <x:row r="6" ht="34" customHeight="1">
      <x:c r="A6" s="10" t="str">
        <x:v>分辨率</x:v>
      </x:c>
      <x:c r="B6" s="10" t="str">
        <x:v>MP</x:v>
      </x:c>
      <x:c r="C6" s="10" t="n">
        <x:v>1.3</x:v>
      </x:c>
      <x:c r="D6" s="10" t="n">
        <x:v>2</x:v>
      </x:c>
      <x:c r="E6" s="10" t="n">
        <x:v>5</x:v>
      </x:c>
      <x:c r="F6" s="10" t="n">
        <x:v>8</x:v>
      </x:c>
      <x:c r="G6" s="10" t="n">
        <x:v>12</x:v>
      </x:c>
      <x:c r="H6" s="10" t="n">
        <x:v>20</x:v>
      </x:c>
    </x:row>
    <x:row r="7" ht="34" customHeight="1">
      <x:c r="A7" s="3" t="str">
        <x:v>最大帧率</x:v>
      </x:c>
      <x:c r="B7" s="3" t="str">
        <x:v>fps</x:v>
      </x:c>
      <x:c r="C7" s="3" t="n">
        <x:v>120</x:v>
      </x:c>
      <x:c r="D7" s="3" t="n">
        <x:v>90</x:v>
      </x:c>
      <x:c r="E7" s="3" t="n">
        <x:v>60</x:v>
      </x:c>
      <x:c r="F7" s="3" t="n">
        <x:v>45</x:v>
      </x:c>
      <x:c r="G7" s="3" t="n">
        <x:v>30</x:v>
      </x:c>
      <x:c r="H7" s="3" t="n">
        <x:v>18</x:v>
      </x:c>
    </x:row>
    <x:row r="8" ht="34" customHeight="1">
      <x:c r="A8" s="10" t="str">
        <x:v>图像宽度</x:v>
      </x:c>
      <x:c r="B8" s="10" t="str">
        <x:v>px</x:v>
      </x:c>
      <x:c r="C8" s="10" t="n">
        <x:v>1280</x:v>
      </x:c>
      <x:c r="D8" s="10" t="n">
        <x:v>1920</x:v>
      </x:c>
      <x:c r="E8" s="10" t="n">
        <x:v>2448</x:v>
      </x:c>
      <x:c r="F8" s="10" t="n">
        <x:v>3840</x:v>
      </x:c>
      <x:c r="G8" s="10" t="n">
        <x:v>4096</x:v>
      </x:c>
      <x:c r="H8" s="10" t="n">
        <x:v>5472</x:v>
      </x:c>
    </x:row>
    <x:row r="9" ht="34" customHeight="1">
      <x:c r="A9" s="3" t="str">
        <x:v>图像高度</x:v>
      </x:c>
      <x:c r="B9" s="3" t="str">
        <x:v>px</x:v>
      </x:c>
      <x:c r="C9" s="3" t="n">
        <x:v>1024</x:v>
      </x:c>
      <x:c r="D9" s="3" t="n">
        <x:v>1080</x:v>
      </x:c>
      <x:c r="E9" s="3" t="n">
        <x:v>2048</x:v>
      </x:c>
      <x:c r="F9" s="3" t="n">
        <x:v>2160</x:v>
      </x:c>
      <x:c r="G9" s="3" t="n">
        <x:v>3000</x:v>
      </x:c>
      <x:c r="H9" s="3" t="n">
        <x:v>3648</x:v>
      </x:c>
    </x:row>
    <x:row r="10" ht="34" customHeight="1">
      <x:c r="A10" s="10" t="str">
        <x:v>传感器幅面</x:v>
      </x:c>
      <x:c r="B10" s="10" t="str">
        <x:v>规格</x:v>
      </x:c>
      <x:c r="C10" s="10" t="str">
        <x:v>1/3英寸</x:v>
      </x:c>
      <x:c r="D10" s="10" t="str">
        <x:v>1/2.8英寸</x:v>
      </x:c>
      <x:c r="E10" s="10" t="str">
        <x:v>2/3英寸</x:v>
      </x:c>
      <x:c r="F10" s="10" t="str">
        <x:v>1/1.8英寸</x:v>
      </x:c>
      <x:c r="G10" s="10" t="str">
        <x:v>1.1英寸</x:v>
      </x:c>
      <x:c r="H10" s="10" t="str">
        <x:v>1.1英寸</x:v>
      </x:c>
    </x:row>
    <x:row r="11" ht="34" customHeight="1">
      <x:c r="A11" s="3" t="str">
        <x:v>快门类型</x:v>
      </x:c>
      <x:c r="B11" s="3" t="str">
        <x:v>类型</x:v>
      </x:c>
      <x:c r="C11" s="3" t="str">
        <x:v>全局快门</x:v>
      </x:c>
      <x:c r="D11" s="3" t="str">
        <x:v>全局快门</x:v>
      </x:c>
      <x:c r="E11" s="3" t="str">
        <x:v>全局快门</x:v>
      </x:c>
      <x:c r="F11" s="3" t="str">
        <x:v>全局快门</x:v>
      </x:c>
      <x:c r="G11" s="3" t="str">
        <x:v>全局快门</x:v>
      </x:c>
      <x:c r="H11" s="3" t="str">
        <x:v>全局快门</x:v>
      </x:c>
    </x:row>
    <x:row r="12" ht="34" customHeight="1">
      <x:c r="A12" s="10" t="str">
        <x:v>色彩</x:v>
      </x:c>
      <x:c r="B12" s="10" t="str">
        <x:v>类型</x:v>
      </x:c>
      <x:c r="C12" s="10" t="str">
        <x:v>黑白</x:v>
      </x:c>
      <x:c r="D12" s="10" t="str">
        <x:v>黑白</x:v>
      </x:c>
      <x:c r="E12" s="10" t="str">
        <x:v>彩色</x:v>
      </x:c>
      <x:c r="F12" s="10" t="str">
        <x:v>彩色</x:v>
      </x:c>
      <x:c r="G12" s="10" t="str">
        <x:v>黑白</x:v>
      </x:c>
      <x:c r="H12" s="10" t="str">
        <x:v>彩色</x:v>
      </x:c>
    </x:row>
    <x:row r="13" ht="34" customHeight="1">
      <x:c r="A13" s="3" t="str">
        <x:v>数据接口</x:v>
      </x:c>
      <x:c r="B13" s="3" t="str">
        <x:v>类型</x:v>
      </x:c>
      <x:c r="C13" s="3" t="str">
        <x:v>GigE</x:v>
      </x:c>
      <x:c r="D13" s="3" t="str">
        <x:v>GigE</x:v>
      </x:c>
      <x:c r="E13" s="3" t="str">
        <x:v>GigE</x:v>
      </x:c>
      <x:c r="F13" s="3" t="str">
        <x:v>GigE</x:v>
      </x:c>
      <x:c r="G13" s="3" t="str">
        <x:v>2.5GigE</x:v>
      </x:c>
      <x:c r="H13" s="3" t="str">
        <x:v>2.5GigE</x:v>
      </x:c>
    </x:row>
    <x:row r="14" ht="34" customHeight="1">
      <x:c r="A14" s="10" t="str">
        <x:v>镜头接口</x:v>
      </x:c>
      <x:c r="B14" s="10" t="str">
        <x:v>规格</x:v>
      </x:c>
      <x:c r="C14" s="10" t="str">
        <x:v>C口</x:v>
      </x:c>
      <x:c r="D14" s="10" t="str">
        <x:v>C口</x:v>
      </x:c>
      <x:c r="E14" s="10" t="str">
        <x:v>C口</x:v>
      </x:c>
      <x:c r="F14" s="10" t="str">
        <x:v>C口</x:v>
      </x:c>
      <x:c r="G14" s="10" t="str">
        <x:v>C口</x:v>
      </x:c>
      <x:c r="H14" s="10" t="str">
        <x:v>C口</x:v>
      </x:c>
    </x:row>
    <x:row r="15" ht="34" customHeight="1">
      <x:c r="A15" s="3" t="str">
        <x:v>触发输入</x:v>
      </x:c>
      <x:c r="B15" s="3" t="str">
        <x:v>路</x:v>
      </x:c>
      <x:c r="C15" s="3" t="n">
        <x:v>1</x:v>
      </x:c>
      <x:c r="D15" s="3" t="n">
        <x:v>1</x:v>
      </x:c>
      <x:c r="E15" s="3" t="n">
        <x:v>2</x:v>
      </x:c>
      <x:c r="F15" s="3" t="n">
        <x:v>2</x:v>
      </x:c>
      <x:c r="G15" s="3" t="n">
        <x:v>2</x:v>
      </x:c>
      <x:c r="H15" s="3" t="n">
        <x:v>4</x:v>
      </x:c>
    </x:row>
    <x:row r="16" ht="34" customHeight="1">
      <x:c r="A16" s="10" t="str">
        <x:v>曝光时间下限</x:v>
      </x:c>
      <x:c r="B16" s="10" t="str">
        <x:v>μs</x:v>
      </x:c>
      <x:c r="C16" s="10" t="n">
        <x:v>20</x:v>
      </x:c>
      <x:c r="D16" s="10" t="n">
        <x:v>20</x:v>
      </x:c>
      <x:c r="E16" s="10" t="n">
        <x:v>10</x:v>
      </x:c>
      <x:c r="F16" s="10" t="n">
        <x:v>10</x:v>
      </x:c>
      <x:c r="G16" s="10" t="n">
        <x:v>5</x:v>
      </x:c>
      <x:c r="H16" s="10" t="n">
        <x:v>5</x:v>
      </x:c>
    </x:row>
    <x:row r="17" ht="34" customHeight="1">
      <x:c r="A17" s="3" t="str">
        <x:v>曝光时间上限</x:v>
      </x:c>
      <x:c r="B17" s="3" t="str">
        <x:v>ms</x:v>
      </x:c>
      <x:c r="C17" s="3" t="n">
        <x:v>1000</x:v>
      </x:c>
      <x:c r="D17" s="3" t="n">
        <x:v>1000</x:v>
      </x:c>
      <x:c r="E17" s="3" t="n">
        <x:v>1000</x:v>
      </x:c>
      <x:c r="F17" s="3" t="n">
        <x:v>1000</x:v>
      </x:c>
      <x:c r="G17" s="3" t="n">
        <x:v>1000</x:v>
      </x:c>
      <x:c r="H17" s="3" t="n">
        <x:v>1000</x:v>
      </x:c>
    </x:row>
    <x:row r="18" ht="34" customHeight="1">
      <x:c r="A18" s="10" t="str">
        <x:v>工作温度下限</x:v>
      </x:c>
      <x:c r="B18" s="10" t="str">
        <x:v>℃</x:v>
      </x:c>
      <x:c r="C18" s="10" t="n">
        <x:v>0</x:v>
      </x:c>
      <x:c r="D18" s="10" t="n">
        <x:v>0</x:v>
      </x:c>
      <x:c r="E18" s="10" t="n">
        <x:v>-10</x:v>
      </x:c>
      <x:c r="F18" s="10" t="n">
        <x:v>-10</x:v>
      </x:c>
      <x:c r="G18" s="10" t="n">
        <x:v>-10</x:v>
      </x:c>
      <x:c r="H18" s="10" t="n">
        <x:v>-10</x:v>
      </x:c>
    </x:row>
    <x:row r="19" ht="34" customHeight="1">
      <x:c r="A19" s="3" t="str">
        <x:v>工作温度上限</x:v>
      </x:c>
      <x:c r="B19" s="3" t="str">
        <x:v>℃</x:v>
      </x:c>
      <x:c r="C19" s="3" t="n">
        <x:v>50</x:v>
      </x:c>
      <x:c r="D19" s="3" t="n">
        <x:v>50</x:v>
      </x:c>
      <x:c r="E19" s="3" t="n">
        <x:v>55</x:v>
      </x:c>
      <x:c r="F19" s="3" t="n">
        <x:v>55</x:v>
      </x:c>
      <x:c r="G19" s="3" t="n">
        <x:v>55</x:v>
      </x:c>
      <x:c r="H19" s="3" t="n">
        <x:v>55</x:v>
      </x:c>
    </x:row>
    <x:row r="20" ht="34" customHeight="1">
      <x:c r="A20" s="10" t="str">
        <x:v>防护等级</x:v>
      </x:c>
      <x:c r="B20" s="10" t="str">
        <x:v>等级</x:v>
      </x:c>
      <x:c r="C20" s="10" t="str">
        <x:v>IP30</x:v>
      </x:c>
      <x:c r="D20" s="10" t="str">
        <x:v>IP30</x:v>
      </x:c>
      <x:c r="E20" s="10" t="str">
        <x:v>IP30</x:v>
      </x:c>
      <x:c r="F20" s="10" t="str">
        <x:v>IP30</x:v>
      </x:c>
      <x:c r="G20" s="10" t="str">
        <x:v>IP30</x:v>
      </x:c>
      <x:c r="H20" s="10" t="str">
        <x:v>IP30</x:v>
      </x:c>
    </x:row>
    <x:row r="21" ht="34" customHeight="1">
      <x:c r="A21" s="3" t="str">
        <x:v>典型功耗</x:v>
      </x:c>
      <x:c r="B21" s="3" t="str">
        <x:v>W</x:v>
      </x:c>
      <x:c r="C21" s="3" t="n">
        <x:v>3</x:v>
      </x:c>
      <x:c r="D21" s="3" t="n">
        <x:v>3.5</x:v>
      </x:c>
      <x:c r="E21" s="3" t="n">
        <x:v>4.5</x:v>
      </x:c>
      <x:c r="F21" s="3" t="n">
        <x:v>5</x:v>
      </x:c>
      <x:c r="G21" s="3" t="n">
        <x:v>7</x:v>
      </x:c>
      <x:c r="H21" s="3" t="n">
        <x:v>9</x:v>
      </x:c>
    </x:row>
    <x:row r="22" ht="34" customHeight="1">
      <x:c r="A22" s="10" t="str">
        <x:v>供电</x:v>
      </x:c>
      <x:c r="B22" s="10" t="str">
        <x:v>V DC</x:v>
      </x:c>
      <x:c r="C22" s="10" t="str">
        <x:v>12</x:v>
      </x:c>
      <x:c r="D22" s="10" t="str">
        <x:v>12</x:v>
      </x:c>
      <x:c r="E22" s="10" t="str">
        <x:v>12</x:v>
      </x:c>
      <x:c r="F22" s="10" t="str">
        <x:v>12</x:v>
      </x:c>
      <x:c r="G22" s="10" t="str">
        <x:v>12</x:v>
      </x:c>
      <x:c r="H22" s="10" t="str">
        <x:v>12</x:v>
      </x:c>
    </x:row>
    <x:row r="23" ht="38" customHeight="1">
      <x:c r="A23" s="3" t="str">
        <x:v>最大帧率条件</x:v>
      </x:c>
      <x:c r="B23" s="3" t="str">
        <x:v>说明</x:v>
      </x:c>
      <x:c r="C23" s="3" t="str">
        <x:v>全幅、8bit、单相机直连、足够带宽</x:v>
      </x:c>
      <x:c r="D23" s="3" t="str">
        <x:v>全幅、8bit、单相机直连、足够带宽</x:v>
      </x:c>
      <x:c r="E23" s="3" t="str">
        <x:v>全幅、8bit、单相机直连、足够带宽</x:v>
      </x:c>
      <x:c r="F23" s="3" t="str">
        <x:v>全幅、8bit、单相机直连、足够带宽</x:v>
      </x:c>
      <x:c r="G23" s="3" t="str">
        <x:v>全幅、8bit、单相机直连、足够带宽</x:v>
      </x:c>
      <x:c r="H23" s="3" t="str">
        <x:v>全幅、8bit、单相机直连、足够带宽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.5600004196167" hidden="0" customWidth="1"/>
    <x:col min="2" max="2" width="23.329999923706055" hidden="0" customWidth="1"/>
    <x:col min="3" max="3" width="23.329999923706055" hidden="0" customWidth="1"/>
    <x:col min="4" max="4" width="11.109999656677246" hidden="0" customWidth="1"/>
    <x:col min="5" max="5" width="15.5600004196167" hidden="0" customWidth="1"/>
    <x:col min="6" max="6" width="34.439998626708984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38" customHeight="1">
      <x:c r="A2" s="5" t="str">
        <x:v>工业视觉相机 配件与兼容</x:v>
      </x:c>
      <x:c r="B2" s="6"/>
      <x:c r="C2" s="6"/>
      <x:c r="D2" s="6"/>
      <x:c r="E2" s="6"/>
      <x:c r="F2" s="6"/>
    </x:row>
    <x:row r="3" ht="32" customHeight="1">
      <x:c r="A3" s="4" t="str">
        <x:v>标配价格0表示随主机提供；另购及选配不含主机目录价</x:v>
      </x:c>
      <x:c r="B3" s="3"/>
      <x:c r="C3" s="3"/>
      <x:c r="D3" s="3"/>
      <x:c r="E3" s="3"/>
      <x:c r="F3" s="3"/>
    </x:row>
    <x:row r="4" ht="30" customHeight="1">
      <x:c r="A4" s="3"/>
      <x:c r="B4" s="3"/>
      <x:c r="C4" s="3"/>
      <x:c r="D4" s="3"/>
      <x:c r="E4" s="3"/>
      <x:c r="F4" s="3"/>
    </x:row>
    <x:row r="5" ht="38" customHeight="1">
      <x:c r="A5" s="9" t="str">
        <x:v>配件编号</x:v>
      </x:c>
      <x:c r="B5" s="9" t="str">
        <x:v>名称</x:v>
      </x:c>
      <x:c r="C5" s="9" t="str">
        <x:v>适用型号后缀</x:v>
      </x:c>
      <x:c r="D5" s="9" t="str">
        <x:v>供货方式</x:v>
      </x:c>
      <x:c r="E5" s="9" t="str">
        <x:v>未税单价元</x:v>
      </x:c>
      <x:c r="F5" s="9" t="str">
        <x:v>适用条件</x:v>
      </x:c>
    </x:row>
    <x:row r="6" ht="54" customHeight="1">
      <x:c r="A6" s="10" t="str">
        <x:v>VC-LENS</x:v>
      </x:c>
      <x:c r="B6" s="10" t="str">
        <x:v>C口镜头</x:v>
      </x:c>
      <x:c r="C6" s="10" t="str">
        <x:v>全系列</x:v>
      </x:c>
      <x:c r="D6" s="10" t="str">
        <x:v>另购</x:v>
      </x:c>
      <x:c r="E6" s="11" t="n">
        <x:v>680</x:v>
      </x:c>
      <x:c r="F6" s="10" t="str">
        <x:v>视野与幅面需匹配</x:v>
      </x:c>
    </x:row>
    <x:row r="7" ht="54" customHeight="1">
      <x:c r="A7" s="3" t="str">
        <x:v>VC-LIGHT</x:v>
      </x:c>
      <x:c r="B7" s="3" t="str">
        <x:v>条形光源套件</x:v>
      </x:c>
      <x:c r="C7" s="3" t="str">
        <x:v>全系列</x:v>
      </x:c>
      <x:c r="D7" s="3" t="str">
        <x:v>另购</x:v>
      </x:c>
      <x:c r="E7" s="12" t="n">
        <x:v>850</x:v>
      </x:c>
      <x:c r="F7" s="3" t="str">
        <x:v>亮度与防护单独评估</x:v>
      </x:c>
    </x:row>
    <x:row r="8" ht="54" customHeight="1">
      <x:c r="A8" s="10" t="str">
        <x:v>VC-ALG</x:v>
      </x:c>
      <x:c r="B8" s="10" t="str">
        <x:v>视觉算法单机授权</x:v>
      </x:c>
      <x:c r="C8" s="10" t="str">
        <x:v>全系列</x:v>
      </x:c>
      <x:c r="D8" s="10" t="str">
        <x:v>另购</x:v>
      </x:c>
      <x:c r="E8" s="11" t="n">
        <x:v>3000</x:v>
      </x:c>
      <x:c r="F8" s="10" t="str">
        <x:v>不含相机目录价</x:v>
      </x:c>
    </x:row>
    <x:row r="9" ht="54" customHeight="1">
      <x:c r="A9" s="3" t="str">
        <x:v>VC-HOUSE</x:v>
      </x:c>
      <x:c r="B9" s="3" t="str">
        <x:v>防护罩</x:v>
      </x:c>
      <x:c r="C9" s="3" t="str">
        <x:v>全系列</x:v>
      </x:c>
      <x:c r="D9" s="3" t="str">
        <x:v>另购</x:v>
      </x:c>
      <x:c r="E9" s="12" t="n">
        <x:v>420</x:v>
      </x:c>
      <x:c r="F9" s="3" t="str">
        <x:v>按现场确认防护等级</x:v>
      </x:c>
    </x:row>
    <x:row r="10" ht="54" customHeight="1">
      <x:c r="A10" s="10" t="str">
        <x:v>VC-CABLE</x:v>
      </x:c>
      <x:c r="B10" s="10" t="str">
        <x:v>网线5米</x:v>
      </x:c>
      <x:c r="C10" s="10" t="str">
        <x:v>全系列</x:v>
      </x:c>
      <x:c r="D10" s="10" t="str">
        <x:v>标配</x:v>
      </x:c>
      <x:c r="E10" s="11" t="n">
        <x:v>0</x:v>
      </x:c>
      <x:c r="F10" s="10" t="str">
        <x:v>带宽与网卡独立核算</x:v>
      </x:c>
    </x:row>
    <x:row r="11" ht="54" customHeight="1">
      <x:c r="A11" s="3" t="str">
        <x:v>VC-TRIG</x:v>
      </x:c>
      <x:c r="B11" s="3" t="str">
        <x:v>触发线3米</x:v>
      </x:c>
      <x:c r="C11" s="3" t="str">
        <x:v>全系列</x:v>
      </x:c>
      <x:c r="D11" s="3" t="str">
        <x:v>选配</x:v>
      </x:c>
      <x:c r="E11" s="12" t="n">
        <x:v>65</x:v>
      </x:c>
      <x:c r="F11" s="3" t="str">
        <x:v>核对电平与时序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476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.109999656677246" hidden="0" customWidth="1"/>
    <x:col min="2" max="2" width="15" hidden="0" customWidth="1"/>
    <x:col min="3" max="3" width="81.11000061035156" hidden="0" customWidth="1"/>
    <x:col min="4" max="4" width="21.110000610351562" hidden="0" customWidth="1"/>
  </x:cols>
  <x:sheetData>
    <x:row r="1" ht="30" customHeight="1">
      <x:c r="A1" s="3"/>
      <x:c r="B1" s="3"/>
      <x:c r="C1" s="3"/>
      <x:c r="D1" s="3"/>
    </x:row>
    <x:row r="2" ht="38" customHeight="1">
      <x:c r="A2" s="5" t="str">
        <x:v>工业视觉相机 服务与版本</x:v>
      </x:c>
      <x:c r="B2" s="6"/>
      <x:c r="C2" s="6"/>
      <x:c r="D2" s="6"/>
    </x:row>
    <x:row r="3" ht="32" customHeight="1">
      <x:c r="A3" s="4" t="str">
        <x:v>PRD-09  V2.0  生效2026-10-01  公司内训合成资料</x:v>
      </x:c>
      <x:c r="B3" s="3"/>
      <x:c r="C3" s="3"/>
      <x:c r="D3" s="3"/>
    </x:row>
    <x:row r="4" ht="30" customHeight="1">
      <x:c r="A4" s="3"/>
      <x:c r="B4" s="3"/>
      <x:c r="C4" s="3"/>
      <x:c r="D4" s="3"/>
    </x:row>
    <x:row r="5" ht="38" customHeight="1">
      <x:c r="A5" s="9" t="str">
        <x:v>条目编号</x:v>
      </x:c>
      <x:c r="B5" s="9" t="str">
        <x:v>主题</x:v>
      </x:c>
      <x:c r="C5" s="9" t="str">
        <x:v>内容</x:v>
      </x:c>
      <x:c r="D5" s="9" t="str">
        <x:v>关联依据</x:v>
      </x:c>
    </x:row>
    <x:row r="6" ht="67" customHeight="1">
      <x:c r="A6" s="10" t="str">
        <x:v>S01</x:v>
      </x:c>
      <x:c r="B6" s="10" t="str">
        <x:v>数据属性</x:v>
      </x:c>
      <x:c r="C6" s="10" t="str">
        <x:v>虚构企业与合成数据，仅用于 RAG 教学。所有客户、价格、参数与业绩均为模拟。</x:v>
      </x:c>
      <x:c r="D6" s="10" t="str">
        <x:v>教学合成，无外部事实来源</x:v>
      </x:c>
    </x:row>
    <x:row r="7" ht="67" customHeight="1">
      <x:c r="A7" s="3" t="str">
        <x:v>S02</x:v>
      </x:c>
      <x:c r="B7" s="3" t="str">
        <x:v>产品边界</x:v>
      </x:c>
      <x:c r="C7" s="3" t="str">
        <x:v>镜头、光源与视觉算法授权另购；最大帧率不代表产线检测节拍。未配置IP67防护罩不能直接冲洗。</x:v>
      </x:c>
      <x:c r="D7" s="3" t="str">
        <x:v>PRD-09 技术参数</x:v>
      </x:c>
    </x:row>
    <x:row r="8" ht="67" customHeight="1">
      <x:c r="A8" s="10" t="str">
        <x:v>S03</x:v>
      </x:c>
      <x:c r="B8" s="10" t="str">
        <x:v>安装要点</x:v>
      </x:c>
      <x:c r="C8" s="10" t="str">
        <x:v>先确定视野与最小缺陷尺寸，再选择镜头；固定曝光与触发后测算实际漏检率和误报率。</x:v>
      </x:c>
      <x:c r="D8" s="10" t="str">
        <x:v>OPS-007</x:v>
      </x:c>
    </x:row>
    <x:row r="9" ht="67" customHeight="1">
      <x:c r="A9" s="3" t="str">
        <x:v>S04</x:v>
      </x:c>
      <x:c r="B9" s="3" t="str">
        <x:v>价格范围</x:v>
      </x:c>
      <x:c r="C9" s="3" t="str">
        <x:v>2026年10月未税人民币目录价；含税价为按13%测算的公式结果；不含安装、物流和另购配件。</x:v>
      </x:c>
      <x:c r="D9" s="3" t="str">
        <x:v>SAL-004</x:v>
      </x:c>
    </x:row>
    <x:row r="10" ht="67" customHeight="1">
      <x:c r="A10" s="10" t="str">
        <x:v>S05</x:v>
      </x:c>
      <x:c r="B10" s="10" t="str">
        <x:v>交期起算</x:v>
      </x:c>
      <x:c r="C10" s="10" t="str">
        <x:v>订单确认、预付款到账、技术规格冻结全部满足之日开始按工作日计算。单型号超过50件或定制时重新确认。</x:v>
      </x:c>
      <x:c r="D10" s="10" t="str">
        <x:v>SAL-004</x:v>
      </x:c>
    </x:row>
    <x:row r="11" ht="67" customHeight="1">
      <x:c r="A11" s="3" t="str">
        <x:v>S06</x:v>
      </x:c>
      <x:c r="B11" s="3" t="str">
        <x:v>质保期限</x:v>
      </x:c>
      <x:c r="C11" s="3" t="str">
        <x:v>本系列标准硬件质保24个月，易耗电池、外力损坏、超范围使用和未授权改装不在标准范围。</x:v>
      </x:c>
      <x:c r="D11" s="3" t="str">
        <x:v>SVC-008</x:v>
      </x:c>
    </x:row>
    <x:row r="12" ht="67" customHeight="1">
      <x:c r="A12" s="10" t="str">
        <x:v>S07</x:v>
      </x:c>
      <x:c r="B12" s="10" t="str">
        <x:v>质保起算</x:v>
      </x:c>
      <x:c r="C12" s="10" t="str">
        <x:v>签署验收日起算；到货后90天仍未验收且原因不归供应商，改为到货后第91日起算。</x:v>
      </x:c>
      <x:c r="D12" s="10" t="str">
        <x:v>DEL-005</x:v>
      </x:c>
    </x:row>
    <x:row r="13" ht="67" customHeight="1">
      <x:c r="A13" s="3" t="str">
        <x:v>S08</x:v>
      </x:c>
      <x:c r="B13" s="3" t="str">
        <x:v>售后响应</x:v>
      </x:c>
      <x:c r="C13" s="3" t="str">
        <x:v>P1首次人工响应2小时，7×24受理；P2为8个工作小时；P3为2个工作日。响应不等于修复或到场。</x:v>
      </x:c>
      <x:c r="D13" s="3" t="str">
        <x:v>SVC-008 V2.2</x:v>
      </x:c>
    </x:row>
    <x:row r="14" ht="67" customHeight="1">
      <x:c r="A14" s="10" t="str">
        <x:v>S09</x:v>
      </x:c>
      <x:c r="B14" s="10" t="str">
        <x:v>常见误读</x:v>
      </x:c>
      <x:c r="C14" s="10" t="str">
        <x:v>不得用系列后缀、价格高低推定所有接口与功能兼容；精度条件、上报周期和供电需逐项核对。</x:v>
      </x:c>
      <x:c r="D14" s="10" t="str">
        <x:v>PRD-TRN-003</x:v>
      </x:c>
    </x:row>
    <x:row r="15" ht="67" customHeight="1">
      <x:c r="A15" s="3" t="str">
        <x:v>S10</x:v>
      </x:c>
      <x:c r="B15" s="3" t="str">
        <x:v>关联案例</x:v>
      </x:c>
      <x:c r="C15" s="3" t="str">
        <x:v>CASE-09；案例结果是现场实测，不是所有客户的标准保证。</x:v>
      </x:c>
      <x:c r="D15" s="3" t="str">
        <x:v>CASE资料</x:v>
      </x:c>
    </x:row>
    <x:row r="16" ht="67" customHeight="1">
      <x:c r="A16" s="10" t="str">
        <x:v>S11</x:v>
      </x:c>
      <x:c r="B16" s="10" t="str">
        <x:v>历史版本</x:v>
      </x:c>
      <x:c r="C16" s="10" t="str">
        <x:v>V1.0生效2025-10-01，已归档；其型号100目录未税价为当前100价格的95%，四舍五入到元。旧价格仅用于历史识别，不用于新报价。</x:v>
      </x:c>
      <x:c r="D16" s="10" t="str">
        <x:v>归档版本摘要</x:v>
      </x:c>
    </x:row>
    <x:row r="17" ht="67" customHeight="1">
      <x:c r="A17" s="3" t="str">
        <x:v>S12</x:v>
      </x:c>
      <x:c r="B17" s="3" t="str">
        <x:v>当前版本</x:v>
      </x:c>
      <x:c r="C17" s="3" t="str">
        <x:v>V2.0生效2026-10-01；本版100型号当前未税单价1900元。当前技术参数以本工作簿为准。</x:v>
      </x:c>
      <x:c r="D17" s="3" t="str">
        <x:v>型号目录及技术参数</x:v>
      </x:c>
    </x:row>
    <x:row r="18" ht="67" customHeight="1">
      <x:c r="A18" s="10" t="str">
        <x:v>S13</x:v>
      </x:c>
      <x:c r="B18" s="10" t="str">
        <x:v>变更控制</x:v>
      </x:c>
      <x:c r="C18" s="10" t="str">
        <x:v>接口、量程、精度、供电或协议改变均按A类变更评审，已交付项目升级需要客户确认。</x:v>
      </x:c>
      <x:c r="D18" s="10" t="str">
        <x:v>QMS-009</x:v>
      </x:c>
    </x:row>
    <x:row r="19" ht="67" customHeight="1">
      <x:c r="A19" s="3" t="str">
        <x:v>S14</x:v>
      </x:c>
      <x:c r="B19" s="3" t="str">
        <x:v>统计口径</x:v>
      </x:c>
      <x:c r="C19" s="3" t="str">
        <x:v>不适用代表该型号无此功能或条件不成立，不等于0误差；无代表明确不配置。数字单位见技术参数第二列。</x:v>
      </x:c>
      <x:c r="D19" s="3" t="str">
        <x:v>KB-010</x:v>
      </x:c>
    </x:row>
  </x:sheetData>
  <x:pageMargins left="0.7" right="0.7" top="0.75" bottom="0.75" header="0.3" footer="0.3"/>
</x:worksheet>
</file>